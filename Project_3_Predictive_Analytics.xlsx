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Data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0070C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Marketing Spend</t>
        </is>
      </c>
      <c r="D1" s="1" t="inlineStr">
        <is>
          <t>Temperature</t>
        </is>
      </c>
      <c r="E1" s="1" t="inlineStr">
        <is>
          <t>Promotion</t>
        </is>
      </c>
    </row>
    <row r="2">
      <c r="A2" t="inlineStr">
        <is>
          <t>2022-01</t>
        </is>
      </c>
      <c r="B2" t="n">
        <v>76790.5</v>
      </c>
      <c r="C2" t="n">
        <v>10255</v>
      </c>
      <c r="D2" t="n">
        <v>86</v>
      </c>
      <c r="E2" t="n">
        <v>0</v>
      </c>
    </row>
    <row r="3">
      <c r="A3" t="inlineStr">
        <is>
          <t>2022-01</t>
        </is>
      </c>
      <c r="B3" t="n">
        <v>89438.5</v>
      </c>
      <c r="C3" t="n">
        <v>12035</v>
      </c>
      <c r="D3" t="n">
        <v>88</v>
      </c>
      <c r="E3" t="n">
        <v>1</v>
      </c>
    </row>
    <row r="4">
      <c r="A4" t="inlineStr">
        <is>
          <t>2022-03</t>
        </is>
      </c>
      <c r="B4" t="n">
        <v>86802</v>
      </c>
      <c r="C4" t="n">
        <v>11216</v>
      </c>
      <c r="D4" t="n">
        <v>88</v>
      </c>
      <c r="E4" t="n">
        <v>1</v>
      </c>
    </row>
    <row r="5">
      <c r="A5" t="inlineStr">
        <is>
          <t>2022-04</t>
        </is>
      </c>
      <c r="B5" t="n">
        <v>78715</v>
      </c>
      <c r="C5" t="n">
        <v>13894</v>
      </c>
      <c r="D5" t="n">
        <v>81</v>
      </c>
      <c r="E5" t="n">
        <v>0</v>
      </c>
    </row>
    <row r="6">
      <c r="A6" t="inlineStr">
        <is>
          <t>2022-05</t>
        </is>
      </c>
      <c r="B6" t="n">
        <v>81649.5</v>
      </c>
      <c r="C6" t="n">
        <v>9127</v>
      </c>
      <c r="D6" t="n">
        <v>81</v>
      </c>
      <c r="E6" t="n">
        <v>1</v>
      </c>
    </row>
    <row r="7">
      <c r="A7" t="inlineStr">
        <is>
          <t>2022-05</t>
        </is>
      </c>
      <c r="B7" t="n">
        <v>84673</v>
      </c>
      <c r="C7" t="n">
        <v>10468</v>
      </c>
      <c r="D7" t="n">
        <v>82</v>
      </c>
      <c r="E7" t="n">
        <v>1</v>
      </c>
    </row>
    <row r="8">
      <c r="A8" t="inlineStr">
        <is>
          <t>2022-06</t>
        </is>
      </c>
      <c r="B8" t="n">
        <v>64741</v>
      </c>
      <c r="C8" t="n">
        <v>5224</v>
      </c>
      <c r="D8" t="n">
        <v>82</v>
      </c>
      <c r="E8" t="n">
        <v>0</v>
      </c>
    </row>
    <row r="9">
      <c r="A9" t="inlineStr">
        <is>
          <t>2022-07</t>
        </is>
      </c>
      <c r="B9" t="n">
        <v>83290.5</v>
      </c>
      <c r="C9" t="n">
        <v>9601</v>
      </c>
      <c r="D9" t="n">
        <v>71</v>
      </c>
      <c r="E9" t="n">
        <v>1</v>
      </c>
    </row>
    <row r="10">
      <c r="A10" t="inlineStr">
        <is>
          <t>2022-08</t>
        </is>
      </c>
      <c r="B10" t="n">
        <v>72016.5</v>
      </c>
      <c r="C10" t="n">
        <v>12003</v>
      </c>
      <c r="D10" t="n">
        <v>89</v>
      </c>
      <c r="E10" t="n">
        <v>0</v>
      </c>
    </row>
    <row r="11">
      <c r="A11" t="inlineStr">
        <is>
          <t>2022-09</t>
        </is>
      </c>
      <c r="B11" t="n">
        <v>87917.5</v>
      </c>
      <c r="C11" t="n">
        <v>12475</v>
      </c>
      <c r="D11" t="n">
        <v>80</v>
      </c>
      <c r="E11" t="n">
        <v>1</v>
      </c>
    </row>
    <row r="12">
      <c r="A12" t="inlineStr">
        <is>
          <t>2022-10</t>
        </is>
      </c>
      <c r="B12" t="n">
        <v>83948.5</v>
      </c>
      <c r="C12" t="n">
        <v>13823</v>
      </c>
      <c r="D12" t="n">
        <v>85</v>
      </c>
      <c r="E12" t="n">
        <v>0</v>
      </c>
    </row>
    <row r="13">
      <c r="A13" t="inlineStr">
        <is>
          <t>2022-11</t>
        </is>
      </c>
      <c r="B13" t="n">
        <v>78006</v>
      </c>
      <c r="C13" t="n">
        <v>14542</v>
      </c>
      <c r="D13" t="n">
        <v>69</v>
      </c>
      <c r="E13" t="n">
        <v>0</v>
      </c>
    </row>
    <row r="14">
      <c r="A14" t="inlineStr">
        <is>
          <t>2022-12</t>
        </is>
      </c>
      <c r="B14" t="n">
        <v>73329</v>
      </c>
      <c r="C14" t="n">
        <v>8376</v>
      </c>
      <c r="D14" t="n">
        <v>62</v>
      </c>
      <c r="E14" t="n">
        <v>0</v>
      </c>
    </row>
    <row r="15">
      <c r="A15" t="inlineStr">
        <is>
          <t>2023-01</t>
        </is>
      </c>
      <c r="B15" t="n">
        <v>71945.5</v>
      </c>
      <c r="C15" t="n">
        <v>9705</v>
      </c>
      <c r="D15" t="n">
        <v>69</v>
      </c>
      <c r="E15" t="n">
        <v>0</v>
      </c>
    </row>
    <row r="16">
      <c r="A16" t="inlineStr">
        <is>
          <t>2023-02</t>
        </is>
      </c>
      <c r="B16" t="n">
        <v>80056</v>
      </c>
      <c r="C16" t="n">
        <v>7890</v>
      </c>
      <c r="D16" t="n">
        <v>66</v>
      </c>
      <c r="E16" t="n">
        <v>1</v>
      </c>
    </row>
    <row r="17">
      <c r="A17" t="inlineStr">
        <is>
          <t>2023-03</t>
        </is>
      </c>
      <c r="B17" t="n">
        <v>78039</v>
      </c>
      <c r="C17" t="n">
        <v>5018</v>
      </c>
      <c r="D17" t="n">
        <v>84</v>
      </c>
      <c r="E17" t="n">
        <v>1</v>
      </c>
    </row>
    <row r="18">
      <c r="A18" t="inlineStr">
        <is>
          <t>2023-04</t>
        </is>
      </c>
      <c r="B18" t="n">
        <v>74389</v>
      </c>
      <c r="C18" t="n">
        <v>5294</v>
      </c>
      <c r="D18" t="n">
        <v>78</v>
      </c>
      <c r="E18" t="n">
        <v>1</v>
      </c>
    </row>
    <row r="19">
      <c r="A19" t="inlineStr">
        <is>
          <t>2023-05</t>
        </is>
      </c>
      <c r="B19" t="n">
        <v>68837.5</v>
      </c>
      <c r="C19" t="n">
        <v>5381</v>
      </c>
      <c r="D19" t="n">
        <v>74</v>
      </c>
      <c r="E19" t="n">
        <v>0</v>
      </c>
    </row>
    <row r="20">
      <c r="A20" t="inlineStr">
        <is>
          <t>2023-06</t>
        </is>
      </c>
      <c r="B20" t="n">
        <v>67238</v>
      </c>
      <c r="C20" t="n">
        <v>5016</v>
      </c>
      <c r="D20" t="n">
        <v>82</v>
      </c>
      <c r="E20" t="n">
        <v>0</v>
      </c>
    </row>
    <row r="21">
      <c r="A21" t="inlineStr">
        <is>
          <t>2023-07</t>
        </is>
      </c>
      <c r="B21" t="n">
        <v>67668</v>
      </c>
      <c r="C21" t="n">
        <v>8080</v>
      </c>
      <c r="D21" t="n">
        <v>62</v>
      </c>
      <c r="E21" t="n">
        <v>0</v>
      </c>
    </row>
    <row r="22">
      <c r="A22" t="inlineStr">
        <is>
          <t>2023-08</t>
        </is>
      </c>
      <c r="B22" t="n">
        <v>83995.5</v>
      </c>
      <c r="C22" t="n">
        <v>12885</v>
      </c>
      <c r="D22" t="n">
        <v>75</v>
      </c>
      <c r="E22" t="n">
        <v>1</v>
      </c>
    </row>
    <row r="23">
      <c r="A23" t="inlineStr">
        <is>
          <t>2023-09</t>
        </is>
      </c>
      <c r="B23" t="n">
        <v>63127</v>
      </c>
      <c r="C23" t="n">
        <v>5824</v>
      </c>
      <c r="D23" t="n">
        <v>79</v>
      </c>
      <c r="E23" t="n">
        <v>0</v>
      </c>
    </row>
    <row r="24">
      <c r="A24" t="inlineStr">
        <is>
          <t>2023-10</t>
        </is>
      </c>
      <c r="B24" t="n">
        <v>70697.5</v>
      </c>
      <c r="C24" t="n">
        <v>11897</v>
      </c>
      <c r="D24" t="n">
        <v>67</v>
      </c>
      <c r="E24" t="n">
        <v>0</v>
      </c>
    </row>
    <row r="25">
      <c r="A25" t="inlineStr">
        <is>
          <t>2023-11</t>
        </is>
      </c>
      <c r="B25" t="n">
        <v>85622</v>
      </c>
      <c r="C25" t="n">
        <v>10320</v>
      </c>
      <c r="D25" t="n">
        <v>83</v>
      </c>
      <c r="E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Predictive Analytics &amp; Forecast</t>
        </is>
      </c>
    </row>
    <row r="3">
      <c r="A3" t="inlineStr">
        <is>
          <t>Historical Analysis</t>
        </is>
      </c>
    </row>
    <row r="4">
      <c r="A4" t="inlineStr">
        <is>
          <t>Metric</t>
        </is>
      </c>
      <c r="B4" t="inlineStr">
        <is>
          <t>Value</t>
        </is>
      </c>
    </row>
    <row r="5">
      <c r="A5" t="inlineStr">
        <is>
          <t>Average Monthly Sales</t>
        </is>
      </c>
      <c r="B5" s="3">
        <f>AVERAGE('Historical Data'!B2:B25)</f>
        <v/>
      </c>
    </row>
    <row r="6">
      <c r="A6" t="inlineStr">
        <is>
          <t>Max Sales</t>
        </is>
      </c>
      <c r="B6" s="3">
        <f>MAX('Historical Data'!B2:B25)</f>
        <v/>
      </c>
    </row>
    <row r="7">
      <c r="A7" t="inlineStr">
        <is>
          <t>Min Sales</t>
        </is>
      </c>
      <c r="B7" s="3">
        <f>MIN('Historical Data'!B2:B25)</f>
        <v/>
      </c>
    </row>
    <row r="8">
      <c r="A8" t="inlineStr">
        <is>
          <t>Growth Trend</t>
        </is>
      </c>
      <c r="B8" s="3">
        <f>('Historical Data'!B25-'Historical Data'!B2)/'Historical Data'!B2</f>
        <v/>
      </c>
    </row>
    <row r="10">
      <c r="A10" t="inlineStr">
        <is>
          <t>3-Month Moving Average Forecast</t>
        </is>
      </c>
    </row>
    <row r="11">
      <c r="A11" t="inlineStr">
        <is>
          <t>Month</t>
        </is>
      </c>
      <c r="B11" t="inlineStr">
        <is>
          <t>Forecasted Sales</t>
        </is>
      </c>
    </row>
    <row r="12">
      <c r="A12" t="inlineStr">
        <is>
          <t>Month 25</t>
        </is>
      </c>
      <c r="B12">
        <f>AVERAGE('Historical Data'!B23:B25)</f>
        <v/>
      </c>
    </row>
    <row r="13">
      <c r="A13" t="inlineStr">
        <is>
          <t>Month 26</t>
        </is>
      </c>
      <c r="B13">
        <f>AVERAGE('Historical Data'!B22:B25)</f>
        <v/>
      </c>
    </row>
    <row r="14">
      <c r="A14" t="inlineStr">
        <is>
          <t>Month 27</t>
        </is>
      </c>
      <c r="B14">
        <f>AVERAGE('Historical Data'!B21:B25)</f>
        <v/>
      </c>
    </row>
    <row r="16">
      <c r="A16" t="inlineStr">
        <is>
          <t>Correlation with Marketing Spend</t>
        </is>
      </c>
      <c r="B16">
        <f>CORREL('Historical Data'!B2:B25,'Historical Data'!C2:C25)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2026-06-29T09:03:19Z</dcterms:created>
  <dcterms:modified xmlns:dcterms="http://purl.org/dc/terms/" xmlns:xsi="http://www.w3.org/2001/XMLSchema-instance" xsi:type="dcterms:W3CDTF">2026-06-29T09:03:19Z</dcterms:modified>
</cp:coreProperties>
</file>